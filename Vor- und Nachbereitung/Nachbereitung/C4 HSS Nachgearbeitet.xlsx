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 Bremen\WiSe 3 (2025-2026)\SEELEK\Labour\Labor 2\"/>
    </mc:Choice>
  </mc:AlternateContent>
  <xr:revisionPtr revIDLastSave="0" documentId="13_ncr:1_{FE23C3AD-184C-4B2E-B091-0714C9E675E4}" xr6:coauthVersionLast="47" xr6:coauthVersionMax="47" xr10:uidLastSave="{00000000-0000-0000-0000-000000000000}"/>
  <bookViews>
    <workbookView xWindow="-120" yWindow="-120" windowWidth="29040" windowHeight="15720" xr2:uid="{ABDB94A6-7A95-4BEA-8334-2566A3155DB4}"/>
  </bookViews>
  <sheets>
    <sheet name="C4 H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8" i="1" l="1" a="1"/>
  <c r="U18" i="1"/>
  <c r="U12" i="1" a="1"/>
  <c r="U12" i="1"/>
  <c r="U5" i="1" a="1"/>
  <c r="U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<sst xmlns="http://schemas.openxmlformats.org/spreadsheetml/2006/main" count="94" uniqueCount="30">
  <si>
    <t>Aufgabe 1 simuliert:</t>
  </si>
  <si>
    <t>Aufgabe 1 gemessen:</t>
  </si>
  <si>
    <t>Var von D:</t>
  </si>
  <si>
    <t>f=2,5 kHz 
RLast=100Ω 
D</t>
  </si>
  <si>
    <t xml:space="preserve">Ie  / A Pk-Pk-Wert nur 
des Ripples </t>
  </si>
  <si>
    <t xml:space="preserve">Ie / A </t>
  </si>
  <si>
    <t>Delta Ua  / V Pk-Pk-Wert nur 
des Ripples</t>
  </si>
  <si>
    <t>Ua / V</t>
  </si>
  <si>
    <t>Ie Lücke Ja/Nein?</t>
  </si>
  <si>
    <t>CH1: Delta Ie /A Pk-Pk</t>
  </si>
  <si>
    <t xml:space="preserve">CH1: Ie / A </t>
  </si>
  <si>
    <t>CH4: Ua / V</t>
  </si>
  <si>
    <t>CH4: Delta Ua/V Pk-Pk</t>
  </si>
  <si>
    <t>P1/W</t>
  </si>
  <si>
    <t>P2/W</t>
  </si>
  <si>
    <t>Wirkungsgrad P2/P1</t>
  </si>
  <si>
    <t>ja</t>
  </si>
  <si>
    <t>nein</t>
  </si>
  <si>
    <t>Var von f:</t>
  </si>
  <si>
    <t>D=60% 
RLast=100Ω 
f/kHz</t>
  </si>
  <si>
    <t>Var von Rlast:</t>
  </si>
  <si>
    <t xml:space="preserve">f=2,5 kHz 
D=60%
Rlast/Ω </t>
  </si>
  <si>
    <t>Augabe 2:</t>
  </si>
  <si>
    <t>T90</t>
  </si>
  <si>
    <t>delta Ua/V (Pk-Pk-Wert nur der Welligkeit des Überschwingers)</t>
  </si>
  <si>
    <t>Variation des Duty-Cycles:</t>
  </si>
  <si>
    <t>Variation der Frequenz:</t>
  </si>
  <si>
    <t>Variation des Lastwiderstands</t>
  </si>
  <si>
    <t>x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</si>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</sst>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10" xfId="0" applyFill="1" applyBorder="1" applyAlignment="1">
      <alignment wrapText="1"/>
    </xf>
    <xf numFmtId="9" fontId="0" fillId="34" borderId="10" xfId="0" applyNumberFormat="1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164" fontId="0" fillId="35" borderId="10" xfId="0" applyNumberFormat="1" applyFill="1" applyBorder="1"/>
    <xf numFmtId="164" fontId="0" fillId="36" borderId="10" xfId="0" applyNumberFormat="1" applyFill="1" applyBorder="1"/>
    <xf numFmtId="0" fontId="0" fillId="0" borderId="10" xfId="0" applyBorder="1"/>
    <xf numFmtId="0" fontId="0" fillId="0" borderId="13" xfId="0" applyBorder="1"/>
    <xf numFmtId="0" fontId="0" fillId="33" borderId="10" xfId="0" applyFill="1" applyBorder="1"/>
    <xf numFmtId="0" fontId="0" fillId="0" borderId="0" xfId="0" applyAlignment="1">
      <alignment wrapText="1"/>
    </xf>
    <xf numFmtId="164" fontId="0" fillId="0" borderId="10" xfId="0" applyNumberFormat="1" applyBorder="1"/>
    <xf numFmtId="164" fontId="0" fillId="0" borderId="13" xfId="0" applyNumberFormat="1" applyBorder="1"/>
    <xf numFmtId="164" fontId="0" fillId="0" borderId="10" xfId="0" quotePrefix="1" applyNumberFormat="1" applyBorder="1"/>
    <xf numFmtId="0" fontId="0" fillId="33" borderId="10" xfId="0" applyFill="1" applyBorder="1" applyAlignment="1">
      <alignment horizontal="center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/>
    </xf>
    <xf numFmtId="0" fontId="0" fillId="33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DutyCycle zu </a:t>
            </a:r>
            <a:r>
              <a:rPr lang="en-US" baseline="0"/>
              <a:t> Messgrößen (Ströme)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77654018443431E-2"/>
          <c:y val="7.922855587264642E-2"/>
          <c:w val="0.86464469196311311"/>
          <c:h val="0.72792622291400244"/>
        </c:manualLayout>
      </c:layout>
      <c:scatterChart>
        <c:scatterStyle val="smoothMarker"/>
        <c:varyColors val="0"/>
        <c:ser>
          <c:idx val="0"/>
          <c:order val="0"/>
          <c:tx>
            <c:v>LTspice Ie pk-pk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HSS'!$C$5:$C$8</c:f>
              <c:numCache>
                <c:formatCode>0.000</c:formatCode>
                <c:ptCount val="4"/>
                <c:pt idx="0">
                  <c:v>0.83214368673700001</c:v>
                </c:pt>
                <c:pt idx="1">
                  <c:v>1.3179845452400001</c:v>
                </c:pt>
                <c:pt idx="2">
                  <c:v>1.68210468437</c:v>
                </c:pt>
                <c:pt idx="3">
                  <c:v>1.25539946556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C3-49DD-9E9D-41C7679BCCF6}"/>
            </c:ext>
          </c:extLst>
        </c:ser>
        <c:ser>
          <c:idx val="1"/>
          <c:order val="1"/>
          <c:tx>
            <c:v>PLECS Ie pk-pk</c:v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HSS'!$D$5:$D$8</c:f>
              <c:numCache>
                <c:formatCode>0.000</c:formatCode>
                <c:ptCount val="4"/>
                <c:pt idx="0">
                  <c:v>0.69499999999999995</c:v>
                </c:pt>
                <c:pt idx="1">
                  <c:v>1.216</c:v>
                </c:pt>
                <c:pt idx="2">
                  <c:v>1.607</c:v>
                </c:pt>
                <c:pt idx="3">
                  <c:v>1.5489999999999999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C3-49DD-9E9D-41C7679BCCF6}"/>
            </c:ext>
          </c:extLst>
        </c:ser>
        <c:ser>
          <c:idx val="2"/>
          <c:order val="2"/>
          <c:tx>
            <c:v>Ltspice Ie Eff</c:v>
          </c:tx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HSS'!$E$5:$E$8</c:f>
              <c:numCache>
                <c:formatCode>0.000</c:formatCode>
                <c:ptCount val="4"/>
                <c:pt idx="0">
                  <c:v>0.36923005951400001</c:v>
                </c:pt>
                <c:pt idx="1">
                  <c:v>0.67594575529500001</c:v>
                </c:pt>
                <c:pt idx="2">
                  <c:v>0.99404394947999997</c:v>
                </c:pt>
                <c:pt idx="3">
                  <c:v>1.7593629256400001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FF-4934-A106-C0A874B820C6}"/>
            </c:ext>
          </c:extLst>
        </c:ser>
        <c:ser>
          <c:idx val="3"/>
          <c:order val="3"/>
          <c:tx>
            <c:v>PLECS Ie Eff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HSS'!$F$5:$F$8</c:f>
              <c:numCache>
                <c:formatCode>0.000</c:formatCode>
                <c:ptCount val="4"/>
                <c:pt idx="0">
                  <c:v>0.315</c:v>
                </c:pt>
                <c:pt idx="1">
                  <c:v>0.59399999999999997</c:v>
                </c:pt>
                <c:pt idx="2">
                  <c:v>0.873</c:v>
                </c:pt>
                <c:pt idx="3">
                  <c:v>1.4350000000000001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B6-4DFC-BAA0-2D39228B6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66183"/>
        <c:axId val="246072327"/>
      </c:scatterChart>
      <c:scatterChart>
        <c:scatterStyle val="smoothMarker"/>
        <c:varyColors val="0"/>
        <c:ser>
          <c:idx val="4"/>
          <c:order val="4"/>
          <c:tx>
            <c:v>Gemessen Ie pk-pk</c:v>
          </c:tx>
          <c:spPr>
            <a:ln w="19050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numRef>
              <c:f>'C4 HSS'!$N$5:$N$8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HSS'!$O$5:$O$8</c:f>
              <c:numCache>
                <c:formatCode>0.000</c:formatCode>
                <c:ptCount val="4"/>
                <c:pt idx="0">
                  <c:v>0.55600000000000005</c:v>
                </c:pt>
                <c:pt idx="1">
                  <c:v>0.92</c:v>
                </c:pt>
                <c:pt idx="2">
                  <c:v>1.2</c:v>
                </c:pt>
                <c:pt idx="3">
                  <c:v>1.0900000000000001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B6-4DFC-BAA0-2D39228B65DB}"/>
            </c:ext>
          </c:extLst>
        </c:ser>
        <c:ser>
          <c:idx val="5"/>
          <c:order val="5"/>
          <c:tx>
            <c:v>Gemessen Ie Eff</c:v>
          </c:tx>
          <c:spPr>
            <a:ln w="19050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numRef>
              <c:f>'C4 HSS'!$N$5:$N$8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HSS'!$P$5:$P$8</c:f>
              <c:numCache>
                <c:formatCode>0.000</c:formatCode>
                <c:ptCount val="4"/>
                <c:pt idx="0">
                  <c:v>0.27500000000000002</c:v>
                </c:pt>
                <c:pt idx="1">
                  <c:v>0.46</c:v>
                </c:pt>
                <c:pt idx="2">
                  <c:v>0.66</c:v>
                </c:pt>
                <c:pt idx="3">
                  <c:v>1.36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B6-4DFC-BAA0-2D39228B65DB}"/>
            </c:ext>
          </c:extLst>
        </c:ser>
        <c:ser>
          <c:idx val="6"/>
          <c:order val="6"/>
          <c:tx>
            <c:v>Gemessen Wirkungsgrad</c:v>
          </c:tx>
          <c:spPr>
            <a:ln w="19050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xVal>
            <c:numRef>
              <c:f>'C4 HSS'!$N$5:$N$8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HSS'!$U$5:$U$8</c:f>
              <c:numCache>
                <c:formatCode>0.000</c:formatCode>
                <c:ptCount val="4"/>
                <c:pt idx="0">
                  <c:v>0.24275362318840582</c:v>
                </c:pt>
                <c:pt idx="1">
                  <c:v>0.50755939524838012</c:v>
                </c:pt>
                <c:pt idx="2">
                  <c:v>0.51044776119402979</c:v>
                </c:pt>
                <c:pt idx="3">
                  <c:v>0.38686131386861317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B6-4DFC-BAA0-2D39228B6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468991"/>
        <c:axId val="1015462751"/>
      </c:scatterChart>
      <c:valAx>
        <c:axId val="246066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Duty</a:t>
                </a:r>
                <a:r>
                  <a:rPr lang="en-GB" baseline="0"/>
                  <a:t> cycle in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72327"/>
        <c:crosses val="autoZero"/>
        <c:crossBetween val="midCat"/>
      </c:valAx>
      <c:valAx>
        <c:axId val="24607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Simulierte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66183"/>
        <c:crosses val="autoZero"/>
        <c:crossBetween val="midCat"/>
      </c:valAx>
      <c:valAx>
        <c:axId val="10154627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Gemessene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15468991"/>
        <c:crosses val="max"/>
        <c:crossBetween val="midCat"/>
      </c:valAx>
      <c:valAx>
        <c:axId val="1015468991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015462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05284839133711"/>
          <c:y val="0.89530447859812912"/>
          <c:w val="0.86338407255249883"/>
          <c:h val="0.10469555159903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DutyCycle zu Messgrößen</a:t>
            </a:r>
            <a:r>
              <a:rPr lang="en-US" baseline="0"/>
              <a:t> (Spannungen)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LTspice Ua pk-pk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HSS'!$G$5:$G$8</c:f>
              <c:numCache>
                <c:formatCode>0.000</c:formatCode>
                <c:ptCount val="4"/>
                <c:pt idx="0">
                  <c:v>0.169730186462</c:v>
                </c:pt>
                <c:pt idx="1">
                  <c:v>0.24782752990699999</c:v>
                </c:pt>
                <c:pt idx="2">
                  <c:v>0.31235313415499999</c:v>
                </c:pt>
                <c:pt idx="3">
                  <c:v>0.54110527038599998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4-4CF4-A96C-B19252AB60E2}"/>
            </c:ext>
          </c:extLst>
        </c:ser>
        <c:ser>
          <c:idx val="1"/>
          <c:order val="1"/>
          <c:tx>
            <c:v>PLECS Ua pk-pk</c:v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HSS'!$H$5:$H$8</c:f>
              <c:numCache>
                <c:formatCode>0.000</c:formatCode>
                <c:ptCount val="4"/>
                <c:pt idx="0">
                  <c:v>0.13900000000000001</c:v>
                </c:pt>
                <c:pt idx="1">
                  <c:v>0.22500000000000001</c:v>
                </c:pt>
                <c:pt idx="2">
                  <c:v>0.29099999999999998</c:v>
                </c:pt>
                <c:pt idx="3">
                  <c:v>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04-4CF4-A96C-B19252AB60E2}"/>
            </c:ext>
          </c:extLst>
        </c:ser>
        <c:ser>
          <c:idx val="2"/>
          <c:order val="2"/>
          <c:tx>
            <c:v>Ltspice Ua Eff</c:v>
          </c:tx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HSS'!$I$5:$I$8</c:f>
              <c:numCache>
                <c:formatCode>0.000</c:formatCode>
                <c:ptCount val="4"/>
                <c:pt idx="0">
                  <c:v>13.5792446764</c:v>
                </c:pt>
                <c:pt idx="1">
                  <c:v>18.030362986499998</c:v>
                </c:pt>
                <c:pt idx="2">
                  <c:v>21.5063088536</c:v>
                </c:pt>
                <c:pt idx="3">
                  <c:v>23.841128084000001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7F-4802-8504-91A2A8A32B79}"/>
            </c:ext>
          </c:extLst>
        </c:ser>
        <c:ser>
          <c:idx val="3"/>
          <c:order val="3"/>
          <c:tx>
            <c:v>PLECS Ua Eff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HSS'!$J$5:$J$8</c:f>
              <c:numCache>
                <c:formatCode>0.000</c:formatCode>
                <c:ptCount val="4"/>
                <c:pt idx="0">
                  <c:v>12.920999999999999</c:v>
                </c:pt>
                <c:pt idx="1">
                  <c:v>17.459</c:v>
                </c:pt>
                <c:pt idx="2">
                  <c:v>21.248000000000001</c:v>
                </c:pt>
                <c:pt idx="3">
                  <c:v>24.532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7F-4802-8504-91A2A8A32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280008"/>
        <c:axId val="1577282568"/>
      </c:scatterChart>
      <c:scatterChart>
        <c:scatterStyle val="smoothMarker"/>
        <c:varyColors val="0"/>
        <c:ser>
          <c:idx val="4"/>
          <c:order val="4"/>
          <c:tx>
            <c:v>Gemessen Ua pk-pk</c:v>
          </c:tx>
          <c:spPr>
            <a:ln w="19050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numRef>
              <c:f>'C4 HSS'!$N$5:$N$8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HSS'!$U$5:$U$8</c:f>
              <c:numCache>
                <c:formatCode>0.000</c:formatCode>
                <c:ptCount val="4"/>
                <c:pt idx="0">
                  <c:v>0.24275362318840582</c:v>
                </c:pt>
                <c:pt idx="1">
                  <c:v>0.50755939524838012</c:v>
                </c:pt>
                <c:pt idx="2">
                  <c:v>0.51044776119402979</c:v>
                </c:pt>
                <c:pt idx="3">
                  <c:v>0.38686131386861317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7F-4802-8504-91A2A8A32B79}"/>
            </c:ext>
          </c:extLst>
        </c:ser>
        <c:ser>
          <c:idx val="5"/>
          <c:order val="5"/>
          <c:tx>
            <c:v>Gemessen Ua Eff</c:v>
          </c:tx>
          <c:spPr>
            <a:ln w="19050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numRef>
              <c:f>'C4 HSS'!$N$5:$N$8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HSS'!$Q$5:$Q$8</c:f>
              <c:numCache>
                <c:formatCode>0.000</c:formatCode>
                <c:ptCount val="4"/>
                <c:pt idx="0">
                  <c:v>12.07</c:v>
                </c:pt>
                <c:pt idx="1">
                  <c:v>15.77</c:v>
                </c:pt>
                <c:pt idx="2">
                  <c:v>19</c:v>
                </c:pt>
                <c:pt idx="3">
                  <c:v>23.38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7F-4802-8504-91A2A8A32B79}"/>
            </c:ext>
          </c:extLst>
        </c:ser>
        <c:ser>
          <c:idx val="6"/>
          <c:order val="6"/>
          <c:tx>
            <c:v>Gemessen Wirkungsgrad</c:v>
          </c:tx>
          <c:spPr>
            <a:ln w="19050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xVal>
            <c:numRef>
              <c:f>'C4 HSS'!$N$5:$N$8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HSS'!$U$5:$U$8</c:f>
              <c:numCache>
                <c:formatCode>0.000</c:formatCode>
                <c:ptCount val="4"/>
                <c:pt idx="0">
                  <c:v>0.24275362318840582</c:v>
                </c:pt>
                <c:pt idx="1">
                  <c:v>0.50755939524838012</c:v>
                </c:pt>
                <c:pt idx="2">
                  <c:v>0.51044776119402979</c:v>
                </c:pt>
                <c:pt idx="3">
                  <c:v>0.38686131386861317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7F-4802-8504-91A2A8A32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736959"/>
        <c:axId val="1260743199"/>
      </c:scatterChart>
      <c:valAx>
        <c:axId val="157728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Duty cycle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82568"/>
        <c:crosses val="autoZero"/>
        <c:crossBetween val="midCat"/>
      </c:valAx>
      <c:valAx>
        <c:axId val="157728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Simulierte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80008"/>
        <c:crosses val="autoZero"/>
        <c:crossBetween val="midCat"/>
      </c:valAx>
      <c:valAx>
        <c:axId val="12607431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Gemessen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0736959"/>
        <c:crosses val="max"/>
        <c:crossBetween val="midCat"/>
      </c:valAx>
      <c:valAx>
        <c:axId val="1260736959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26074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Frequenz zu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Messgrößen (Ströme)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LTspice Ie pk-pk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HSS'!$C$12:$C$14</c:f>
              <c:numCache>
                <c:formatCode>0.000</c:formatCode>
                <c:ptCount val="3"/>
                <c:pt idx="0">
                  <c:v>1.6821046148400001</c:v>
                </c:pt>
                <c:pt idx="1">
                  <c:v>0.97973424196199999</c:v>
                </c:pt>
                <c:pt idx="2">
                  <c:v>0.68840664625199999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F3-4699-9644-39E11DBC1988}"/>
            </c:ext>
          </c:extLst>
        </c:ser>
        <c:ser>
          <c:idx val="1"/>
          <c:order val="1"/>
          <c:tx>
            <c:v>PLECS Ie pk-pk</c:v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HSS'!$D$12:$D$14</c:f>
              <c:numCache>
                <c:formatCode>0.000</c:formatCode>
                <c:ptCount val="3"/>
                <c:pt idx="0">
                  <c:v>1.607</c:v>
                </c:pt>
                <c:pt idx="1">
                  <c:v>0.95599999999999996</c:v>
                </c:pt>
                <c:pt idx="2">
                  <c:v>0.64500000000000002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F3-4699-9644-39E11DBC1988}"/>
            </c:ext>
          </c:extLst>
        </c:ser>
        <c:ser>
          <c:idx val="2"/>
          <c:order val="2"/>
          <c:tx>
            <c:v>Ltspice Ie Eff</c:v>
          </c:tx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HSS'!$E$12:$E$14</c:f>
              <c:numCache>
                <c:formatCode>0.000</c:formatCode>
                <c:ptCount val="3"/>
                <c:pt idx="0">
                  <c:v>0.99403984696500003</c:v>
                </c:pt>
                <c:pt idx="1">
                  <c:v>0.83850642255300001</c:v>
                </c:pt>
                <c:pt idx="2">
                  <c:v>0.94946912535700001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B1-455B-9688-A644900F7DDF}"/>
            </c:ext>
          </c:extLst>
        </c:ser>
        <c:ser>
          <c:idx val="3"/>
          <c:order val="3"/>
          <c:tx>
            <c:v>PLECS Ie Eff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HSS'!$F$12:$F$14</c:f>
              <c:numCache>
                <c:formatCode>0.000</c:formatCode>
                <c:ptCount val="3"/>
                <c:pt idx="0">
                  <c:v>0.873</c:v>
                </c:pt>
                <c:pt idx="1">
                  <c:v>0.59799999999999998</c:v>
                </c:pt>
                <c:pt idx="2">
                  <c:v>0.55400000000000005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B1-455B-9688-A644900F7DDF}"/>
            </c:ext>
          </c:extLst>
        </c:ser>
        <c:ser>
          <c:idx val="4"/>
          <c:order val="4"/>
          <c:tx>
            <c:v>Gemessen Ie Eff</c:v>
          </c:tx>
          <c:spPr>
            <a:ln w="19050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numRef>
              <c:f>'C4 HSS'!$N$12:$N$14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HSS'!$P$12:$P$14</c:f>
              <c:numCache>
                <c:formatCode>0.000</c:formatCode>
                <c:ptCount val="3"/>
                <c:pt idx="0">
                  <c:v>0.66</c:v>
                </c:pt>
                <c:pt idx="1">
                  <c:v>0.58099999999999996</c:v>
                </c:pt>
                <c:pt idx="2">
                  <c:v>0.54700000000000004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B1-455B-9688-A644900F7DDF}"/>
            </c:ext>
          </c:extLst>
        </c:ser>
        <c:ser>
          <c:idx val="5"/>
          <c:order val="5"/>
          <c:tx>
            <c:v>Gemessen Ie pk-pk</c:v>
          </c:tx>
          <c:spPr>
            <a:ln w="19050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numRef>
              <c:f>'C4 HSS'!$N$12:$N$14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HSS'!$O$12:$O$14</c:f>
              <c:numCache>
                <c:formatCode>0.000</c:formatCode>
                <c:ptCount val="3"/>
                <c:pt idx="0">
                  <c:v>1.2</c:v>
                </c:pt>
                <c:pt idx="1">
                  <c:v>0.748</c:v>
                </c:pt>
                <c:pt idx="2">
                  <c:v>0.502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B1-455B-9688-A644900F7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580999"/>
        <c:axId val="1932886535"/>
      </c:scatterChart>
      <c:scatterChart>
        <c:scatterStyle val="smoothMarker"/>
        <c:varyColors val="0"/>
        <c:ser>
          <c:idx val="6"/>
          <c:order val="6"/>
          <c:tx>
            <c:v>Gemessene wirkungsgrad</c:v>
          </c:tx>
          <c:spPr>
            <a:ln w="19050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xVal>
            <c:numRef>
              <c:f>'C4 HSS'!$N$12:$N$14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HSS'!$U$12:$U$14</c:f>
              <c:numCache>
                <c:formatCode>0.000</c:formatCode>
                <c:ptCount val="3"/>
                <c:pt idx="0">
                  <c:v>0.51044776119402979</c:v>
                </c:pt>
                <c:pt idx="1">
                  <c:v>0.61986301369863017</c:v>
                </c:pt>
                <c:pt idx="2">
                  <c:v>0.64884135472370763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B1-455B-9688-A644900F7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429631"/>
        <c:axId val="1015425791"/>
      </c:scatterChart>
      <c:valAx>
        <c:axId val="81858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 in 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86535"/>
        <c:crosses val="autoZero"/>
        <c:crossBetween val="midCat"/>
      </c:valAx>
      <c:valAx>
        <c:axId val="1932886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Simulierte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80999"/>
        <c:crosses val="autoZero"/>
        <c:crossBetween val="midCat"/>
      </c:valAx>
      <c:valAx>
        <c:axId val="10154257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Gemessene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15429631"/>
        <c:crosses val="max"/>
        <c:crossBetween val="midCat"/>
      </c:valAx>
      <c:valAx>
        <c:axId val="1015429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5425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Frequenz zu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Messgrößen (Spannungen)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Ltspice Ua pk-pk</c:v>
          </c:tx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HSS'!$G$12:$G$14</c:f>
              <c:numCache>
                <c:formatCode>0.000</c:formatCode>
                <c:ptCount val="3"/>
                <c:pt idx="0">
                  <c:v>0.31187438964800002</c:v>
                </c:pt>
                <c:pt idx="1">
                  <c:v>0.145210266113</c:v>
                </c:pt>
                <c:pt idx="2">
                  <c:v>0.12252426147499999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66-47D9-B9F0-C2946F54388F}"/>
            </c:ext>
          </c:extLst>
        </c:ser>
        <c:ser>
          <c:idx val="3"/>
          <c:order val="3"/>
          <c:tx>
            <c:v>PLECS Ua pk-pk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HSS'!$H$12:$H$14</c:f>
              <c:numCache>
                <c:formatCode>0.000</c:formatCode>
                <c:ptCount val="3"/>
                <c:pt idx="0">
                  <c:v>0.29099999999999998</c:v>
                </c:pt>
                <c:pt idx="1">
                  <c:v>0.111</c:v>
                </c:pt>
                <c:pt idx="2">
                  <c:v>8.3000000000000004E-2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66-47D9-B9F0-C2946F54388F}"/>
            </c:ext>
          </c:extLst>
        </c:ser>
        <c:ser>
          <c:idx val="4"/>
          <c:order val="4"/>
          <c:tx>
            <c:v>LTspice Ua Eff</c:v>
          </c:tx>
          <c:spPr>
            <a:ln w="19050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HSS'!$I$12:$I$14</c:f>
              <c:numCache>
                <c:formatCode>0.000</c:formatCode>
                <c:ptCount val="3"/>
                <c:pt idx="0">
                  <c:v>21.5063662608</c:v>
                </c:pt>
                <c:pt idx="1">
                  <c:v>22.580384803699999</c:v>
                </c:pt>
                <c:pt idx="2">
                  <c:v>23.9924118082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66-47D9-B9F0-C2946F54388F}"/>
            </c:ext>
          </c:extLst>
        </c:ser>
        <c:ser>
          <c:idx val="5"/>
          <c:order val="5"/>
          <c:tx>
            <c:v>PLECS Ua Eff</c:v>
          </c:tx>
          <c:spPr>
            <a:ln w="19050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HSS'!$J$12:$J$14</c:f>
              <c:numCache>
                <c:formatCode>0.000</c:formatCode>
                <c:ptCount val="3"/>
                <c:pt idx="0">
                  <c:v>21.248000000000001</c:v>
                </c:pt>
                <c:pt idx="1">
                  <c:v>20.096</c:v>
                </c:pt>
                <c:pt idx="2">
                  <c:v>20.247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66-47D9-B9F0-C2946F54388F}"/>
            </c:ext>
          </c:extLst>
        </c:ser>
        <c:ser>
          <c:idx val="6"/>
          <c:order val="6"/>
          <c:tx>
            <c:v>Gemessen Ua Eff</c:v>
          </c:tx>
          <c:spPr>
            <a:ln w="19050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xVal>
            <c:numRef>
              <c:f>'C4 HSS'!$N$12:$N$14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HSS'!$Q$12:$Q$14</c:f>
              <c:numCache>
                <c:formatCode>0.000</c:formatCode>
                <c:ptCount val="3"/>
                <c:pt idx="0">
                  <c:v>19</c:v>
                </c:pt>
                <c:pt idx="1">
                  <c:v>19.350000000000001</c:v>
                </c:pt>
                <c:pt idx="2">
                  <c:v>19.46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66-47D9-B9F0-C2946F54388F}"/>
            </c:ext>
          </c:extLst>
        </c:ser>
        <c:ser>
          <c:idx val="8"/>
          <c:order val="8"/>
          <c:tx>
            <c:v>Gemessen Wirkungsgrad</c:v>
          </c:tx>
          <c:spPr>
            <a:ln w="19050" cap="rnd">
              <a:solidFill>
                <a:srgbClr val="B146C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146C2"/>
              </a:solidFill>
              <a:ln w="9525">
                <a:solidFill>
                  <a:srgbClr val="B146C2"/>
                </a:solidFill>
              </a:ln>
              <a:effectLst/>
            </c:spPr>
          </c:marker>
          <c:xVal>
            <c:numRef>
              <c:f>'C4 HSS'!$N$12:$N$14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HSS'!$U$12:$U$14</c:f>
              <c:numCache>
                <c:formatCode>0.000</c:formatCode>
                <c:ptCount val="3"/>
                <c:pt idx="0">
                  <c:v>0.51044776119402979</c:v>
                </c:pt>
                <c:pt idx="1">
                  <c:v>0.61986301369863017</c:v>
                </c:pt>
                <c:pt idx="2">
                  <c:v>0.64884135472370763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66-47D9-B9F0-C2946F543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693768"/>
        <c:axId val="14246958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{"LTSpice"}</c15:sqref>
                        </c15:formulaRef>
                      </c:ext>
                    </c:extLst>
                    <c:strCache>
                      <c:ptCount val="1"/>
                      <c:pt idx="0">
                        <c:v>LTSpice</c:v>
                      </c:pt>
                    </c:strCache>
                  </c:strRef>
                </c:tx>
                <c:spPr>
                  <a:ln w="19050" cap="rnd">
                    <a:solidFill>
                      <a:srgbClr val="637CEF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637CEF"/>
                    </a:solidFill>
                    <a:ln w="9525">
                      <a:solidFill>
                        <a:srgbClr val="637CEF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'C4 HSS'!$B$12:$B$14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2.5</c:v>
                      </c:pt>
                      <c:pt idx="1">
                        <c:v>5</c:v>
                      </c:pt>
                      <c:pt idx="2">
                        <c:v>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'C4 HSS'!$G$12:$G$14</c15:sqref>
                        </c15:formulaRef>
                      </c:ext>
                    </c:extLst>
                    <c:numCache>
                      <c:formatCode>0.000</c:formatCode>
                      <c:ptCount val="3"/>
                      <c:pt idx="0">
                        <c:v>0.31187438964800002</c:v>
                      </c:pt>
                      <c:pt idx="1">
                        <c:v>0.145210266113</c:v>
                      </c:pt>
                      <c:pt idx="2">
                        <c:v>0.12252426147499999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3A4F-46CD-A50C-596EE0BEE5A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{"Plecs"}</c15:sqref>
                        </c15:formulaRef>
                      </c:ext>
                    </c:extLst>
                    <c:strCache>
                      <c:ptCount val="1"/>
                      <c:pt idx="0">
                        <c:v>Plecs</c:v>
                      </c:pt>
                    </c:strCache>
                  </c:strRef>
                </c:tx>
                <c:spPr>
                  <a:ln w="19050" cap="rnd">
                    <a:solidFill>
                      <a:srgbClr val="E3008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E3008C"/>
                    </a:solidFill>
                    <a:ln w="9525">
                      <a:solidFill>
                        <a:srgbClr val="E3008C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'C4 HSS'!$B$12:$B$14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2.5</c:v>
                      </c:pt>
                      <c:pt idx="1">
                        <c:v>5</c:v>
                      </c:pt>
                      <c:pt idx="2">
                        <c:v>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'C4 HSS'!$H$12:$H$14</c15:sqref>
                        </c15:formulaRef>
                      </c:ext>
                    </c:extLst>
                    <c:numCache>
                      <c:formatCode>0.000</c:formatCode>
                      <c:ptCount val="3"/>
                      <c:pt idx="0">
                        <c:v>0.29099999999999998</c:v>
                      </c:pt>
                      <c:pt idx="1">
                        <c:v>0.111</c:v>
                      </c:pt>
                      <c:pt idx="2">
                        <c:v>8.3000000000000004E-2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A4F-46CD-A50C-596EE0BEE5A2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7"/>
          <c:order val="7"/>
          <c:tx>
            <c:v>Gemessen Ua pk-pk</c:v>
          </c:tx>
          <c:spPr>
            <a:ln w="19050" cap="rnd">
              <a:solidFill>
                <a:srgbClr val="57811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7811B"/>
              </a:solidFill>
              <a:ln w="9525">
                <a:solidFill>
                  <a:srgbClr val="57811B"/>
                </a:solidFill>
              </a:ln>
              <a:effectLst/>
            </c:spPr>
          </c:marker>
          <c:xVal>
            <c:numRef>
              <c:f>'C4 HSS'!$N$12:$N$14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HSS'!$R$12:$R$14</c:f>
              <c:numCache>
                <c:formatCode>0.000</c:formatCode>
                <c:ptCount val="3"/>
                <c:pt idx="0">
                  <c:v>0.26300000000000001</c:v>
                </c:pt>
                <c:pt idx="1">
                  <c:v>0.15</c:v>
                </c:pt>
                <c:pt idx="2">
                  <c:v>0.105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66-47D9-B9F0-C2946F543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796239"/>
        <c:axId val="1257810159"/>
      </c:scatterChart>
      <c:valAx>
        <c:axId val="142469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 in 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95816"/>
        <c:crosses val="autoZero"/>
        <c:crossBetween val="midCat"/>
      </c:valAx>
      <c:valAx>
        <c:axId val="142469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Simulierte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93768"/>
        <c:crosses val="autoZero"/>
        <c:crossBetween val="midCat"/>
      </c:valAx>
      <c:valAx>
        <c:axId val="12578101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Gemessene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57796239"/>
        <c:crosses val="max"/>
        <c:crossBetween val="midCat"/>
      </c:valAx>
      <c:valAx>
        <c:axId val="1257796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781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Rlast zu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Messgrößen (Ströme)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Ltspice Ie pk-pk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HSS'!$C$18:$C$20</c:f>
              <c:numCache>
                <c:formatCode>0.000</c:formatCode>
                <c:ptCount val="3"/>
                <c:pt idx="0">
                  <c:v>1.6821190212999999</c:v>
                </c:pt>
                <c:pt idx="1">
                  <c:v>1.68211408204</c:v>
                </c:pt>
                <c:pt idx="2">
                  <c:v>1.6821046148400001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25-4691-9064-07616073BA19}"/>
            </c:ext>
          </c:extLst>
        </c:ser>
        <c:ser>
          <c:idx val="1"/>
          <c:order val="1"/>
          <c:tx>
            <c:v>PLECS Ie pk-pk</c:v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HSS'!$D$18:$D$20</c:f>
              <c:numCache>
                <c:formatCode>0.000</c:formatCode>
                <c:ptCount val="3"/>
                <c:pt idx="0">
                  <c:v>1.607</c:v>
                </c:pt>
                <c:pt idx="1">
                  <c:v>1.607</c:v>
                </c:pt>
                <c:pt idx="2">
                  <c:v>1.607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25-4691-9064-07616073BA19}"/>
            </c:ext>
          </c:extLst>
        </c:ser>
        <c:ser>
          <c:idx val="2"/>
          <c:order val="2"/>
          <c:tx>
            <c:v>Ltspice Ie Eff</c:v>
          </c:tx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HSS'!$E$18:$E$20</c:f>
              <c:numCache>
                <c:formatCode>0.000</c:formatCode>
                <c:ptCount val="3"/>
                <c:pt idx="0">
                  <c:v>0.93790562254099996</c:v>
                </c:pt>
                <c:pt idx="1">
                  <c:v>0.95810363324000003</c:v>
                </c:pt>
                <c:pt idx="2">
                  <c:v>0.99403984696500003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11-4F4F-90F3-FDF89DEE35EE}"/>
            </c:ext>
          </c:extLst>
        </c:ser>
        <c:ser>
          <c:idx val="3"/>
          <c:order val="3"/>
          <c:tx>
            <c:v>PLECS Ie Eff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HSS'!$F$18:$F$20</c:f>
              <c:numCache>
                <c:formatCode>0.000</c:formatCode>
                <c:ptCount val="3"/>
                <c:pt idx="0">
                  <c:v>0.80100000000000005</c:v>
                </c:pt>
                <c:pt idx="1">
                  <c:v>0.82599999999999996</c:v>
                </c:pt>
                <c:pt idx="2">
                  <c:v>0.873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11-4F4F-90F3-FDF89DEE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798856"/>
        <c:axId val="1523499016"/>
      </c:scatterChart>
      <c:scatterChart>
        <c:scatterStyle val="smoothMarker"/>
        <c:varyColors val="0"/>
        <c:ser>
          <c:idx val="4"/>
          <c:order val="4"/>
          <c:tx>
            <c:v>Gemessen Ie Eff</c:v>
          </c:tx>
          <c:spPr>
            <a:ln w="19050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numRef>
              <c:f>'C4 HSS'!$N$18:$N$20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HSS'!$P$18:$P$20</c:f>
              <c:numCache>
                <c:formatCode>0.000</c:formatCode>
                <c:ptCount val="3"/>
                <c:pt idx="0">
                  <c:v>0.58699999999999997</c:v>
                </c:pt>
                <c:pt idx="1">
                  <c:v>0.61099999999999999</c:v>
                </c:pt>
                <c:pt idx="2">
                  <c:v>0.66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11-4F4F-90F3-FDF89DEE35EE}"/>
            </c:ext>
          </c:extLst>
        </c:ser>
        <c:ser>
          <c:idx val="5"/>
          <c:order val="5"/>
          <c:tx>
            <c:v>Gemessen Ie pk-pk</c:v>
          </c:tx>
          <c:spPr>
            <a:ln w="19050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numRef>
              <c:f>'C4 HSS'!$N$18:$N$20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HSS'!$O$18:$O$20</c:f>
              <c:numCache>
                <c:formatCode>0.000</c:formatCode>
                <c:ptCount val="3"/>
                <c:pt idx="0">
                  <c:v>1.2</c:v>
                </c:pt>
                <c:pt idx="1">
                  <c:v>1.19</c:v>
                </c:pt>
                <c:pt idx="2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11-4F4F-90F3-FDF89DEE35EE}"/>
            </c:ext>
          </c:extLst>
        </c:ser>
        <c:ser>
          <c:idx val="6"/>
          <c:order val="6"/>
          <c:tx>
            <c:v>Gemesen Wirkungsgrad</c:v>
          </c:tx>
          <c:spPr>
            <a:ln w="19050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xVal>
            <c:numRef>
              <c:f>'C4 HSS'!$N$18:$N$20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HSS'!$U$18:$U$20</c:f>
              <c:numCache>
                <c:formatCode>0.000</c:formatCode>
                <c:ptCount val="3"/>
                <c:pt idx="0">
                  <c:v>0.42033898305084744</c:v>
                </c:pt>
                <c:pt idx="1">
                  <c:v>0.47317073170731705</c:v>
                </c:pt>
                <c:pt idx="2">
                  <c:v>0.51044776119402979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11-4F4F-90F3-FDF89DEE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702879"/>
        <c:axId val="1260690879"/>
      </c:scatterChart>
      <c:valAx>
        <c:axId val="145479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Rlast in 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499016"/>
        <c:crosses val="autoZero"/>
        <c:crossBetween val="midCat"/>
      </c:valAx>
      <c:valAx>
        <c:axId val="152349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Simulierte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98856"/>
        <c:crosses val="autoZero"/>
        <c:crossBetween val="midCat"/>
      </c:valAx>
      <c:valAx>
        <c:axId val="12606908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Gemessene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0702879"/>
        <c:crosses val="max"/>
        <c:crossBetween val="midCat"/>
      </c:valAx>
      <c:valAx>
        <c:axId val="1260702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069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Rlast zu</a:t>
            </a:r>
            <a:r>
              <a:rPr lang="en-US" baseline="0"/>
              <a:t>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Messgrößen (Spannungen)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LTspice Ie pk-pk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HSS'!$I$18:$I$20</c:f>
              <c:numCache>
                <c:formatCode>0.000</c:formatCode>
                <c:ptCount val="3"/>
                <c:pt idx="0">
                  <c:v>35.467364655399997</c:v>
                </c:pt>
                <c:pt idx="1">
                  <c:v>28.474694003500002</c:v>
                </c:pt>
                <c:pt idx="2">
                  <c:v>21.5063662608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4E-454F-97C7-BD2A375E0F96}"/>
            </c:ext>
          </c:extLst>
        </c:ser>
        <c:ser>
          <c:idx val="1"/>
          <c:order val="1"/>
          <c:tx>
            <c:v>PLECS Ie pk-pk</c:v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HSS'!$J$18:$J$20</c:f>
              <c:numCache>
                <c:formatCode>0.000</c:formatCode>
                <c:ptCount val="3"/>
                <c:pt idx="0">
                  <c:v>34.777000000000001</c:v>
                </c:pt>
                <c:pt idx="1">
                  <c:v>27.952000000000002</c:v>
                </c:pt>
                <c:pt idx="2">
                  <c:v>21.248000000000001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4E-454F-97C7-BD2A375E0F96}"/>
            </c:ext>
          </c:extLst>
        </c:ser>
        <c:ser>
          <c:idx val="2"/>
          <c:order val="2"/>
          <c:tx>
            <c:v>Ltspice Ua Eff</c:v>
          </c:tx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HSS'!$I$18:$I$20</c:f>
              <c:numCache>
                <c:formatCode>0.000</c:formatCode>
                <c:ptCount val="3"/>
                <c:pt idx="0">
                  <c:v>35.467364655399997</c:v>
                </c:pt>
                <c:pt idx="1">
                  <c:v>28.474694003500002</c:v>
                </c:pt>
                <c:pt idx="2">
                  <c:v>21.5063662608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7A-4173-89B0-062B52A8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35335"/>
        <c:axId val="113637383"/>
      </c:scatterChart>
      <c:scatterChart>
        <c:scatterStyle val="smoothMarker"/>
        <c:varyColors val="0"/>
        <c:ser>
          <c:idx val="3"/>
          <c:order val="3"/>
          <c:tx>
            <c:v>PLECS Ua Eff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HSS'!$J$18:$J$20</c:f>
              <c:numCache>
                <c:formatCode>0.000</c:formatCode>
                <c:ptCount val="3"/>
                <c:pt idx="0">
                  <c:v>34.777000000000001</c:v>
                </c:pt>
                <c:pt idx="1">
                  <c:v>27.952000000000002</c:v>
                </c:pt>
                <c:pt idx="2">
                  <c:v>21.248000000000001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7A-4173-89B0-062B52A85A5C}"/>
            </c:ext>
          </c:extLst>
        </c:ser>
        <c:ser>
          <c:idx val="4"/>
          <c:order val="4"/>
          <c:tx>
            <c:v>Gemessen Ua pk-pk</c:v>
          </c:tx>
          <c:spPr>
            <a:ln w="19050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numRef>
              <c:f>'C4 HSS'!$N$18:$N$20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HSS'!$R$18:$R$20</c:f>
              <c:numCache>
                <c:formatCode>0.000</c:formatCode>
                <c:ptCount val="3"/>
                <c:pt idx="0">
                  <c:v>0.156</c:v>
                </c:pt>
                <c:pt idx="1">
                  <c:v>0.20300000000000001</c:v>
                </c:pt>
                <c:pt idx="2">
                  <c:v>0.26300000000000001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7A-4173-89B0-062B52A85A5C}"/>
            </c:ext>
          </c:extLst>
        </c:ser>
        <c:ser>
          <c:idx val="5"/>
          <c:order val="5"/>
          <c:tx>
            <c:v>Gemessen Ua Eff</c:v>
          </c:tx>
          <c:spPr>
            <a:ln w="19050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numRef>
              <c:f>'C4 HSS'!$N$18:$N$20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HSS'!$Q$18:$Q$20</c:f>
              <c:numCache>
                <c:formatCode>0.000</c:formatCode>
                <c:ptCount val="3"/>
                <c:pt idx="0">
                  <c:v>33.200000000000003</c:v>
                </c:pt>
                <c:pt idx="1">
                  <c:v>24.99</c:v>
                </c:pt>
                <c:pt idx="2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7A-4173-89B0-062B52A85A5C}"/>
            </c:ext>
          </c:extLst>
        </c:ser>
        <c:ser>
          <c:idx val="6"/>
          <c:order val="6"/>
          <c:tx>
            <c:v>Gemessen Wirkungsgrad</c:v>
          </c:tx>
          <c:spPr>
            <a:ln w="19050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xVal>
            <c:numRef>
              <c:f>'C4 HSS'!$N$18:$N$20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HSS'!$U$18:$U$20</c:f>
              <c:numCache>
                <c:formatCode>0.000</c:formatCode>
                <c:ptCount val="3"/>
                <c:pt idx="0">
                  <c:v>0.42033898305084744</c:v>
                </c:pt>
                <c:pt idx="1">
                  <c:v>0.47317073170731705</c:v>
                </c:pt>
                <c:pt idx="2">
                  <c:v>0.51044776119402979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7A-4173-89B0-062B52A8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37920"/>
        <c:axId val="839329280"/>
      </c:scatterChart>
      <c:valAx>
        <c:axId val="113635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Rlast in 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7383"/>
        <c:crosses val="autoZero"/>
        <c:crossBetween val="midCat"/>
      </c:valAx>
      <c:valAx>
        <c:axId val="11363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Simulierte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5335"/>
        <c:crosses val="autoZero"/>
        <c:crossBetween val="midCat"/>
      </c:valAx>
      <c:valAx>
        <c:axId val="8393292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Gemessene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9337920"/>
        <c:crosses val="max"/>
        <c:crossBetween val="midCat"/>
      </c:valAx>
      <c:valAx>
        <c:axId val="839337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932928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4588619889485888E-2"/>
          <c:y val="0.93140720198952454"/>
          <c:w val="0.89999990752415338"/>
          <c:h val="3.0193818124490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407977</xdr:colOff>
      <xdr:row>32</xdr:row>
      <xdr:rowOff>74656</xdr:rowOff>
    </xdr:from>
    <xdr:to>
      <xdr:col>10</xdr:col>
      <xdr:colOff>577273</xdr:colOff>
      <xdr:row>63</xdr:row>
      <xdr:rowOff>14432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C241ECF-0246-2ABF-6C74-AF74E4941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620569</xdr:colOff>
      <xdr:row>32</xdr:row>
      <xdr:rowOff>129887</xdr:rowOff>
    </xdr:from>
    <xdr:to>
      <xdr:col>19</xdr:col>
      <xdr:colOff>738498</xdr:colOff>
      <xdr:row>62</xdr:row>
      <xdr:rowOff>129887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1F977FFE-5BA7-41F3-B0D0-F1719DD54283}"/>
            </a:ext>
            <a:ext uri="{147F2762-F138-4A5C-976F-8EAC2B608ADB}">
              <a16:predDERef xmlns:a16="http://schemas.microsoft.com/office/drawing/2014/main" pred="{BDEBFC12-FB03-32CF-5758-8912A7B9D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554305</xdr:colOff>
      <xdr:row>66</xdr:row>
      <xdr:rowOff>117516</xdr:rowOff>
    </xdr:from>
    <xdr:to>
      <xdr:col>10</xdr:col>
      <xdr:colOff>447387</xdr:colOff>
      <xdr:row>96</xdr:row>
      <xdr:rowOff>158749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DB7B94A2-76FA-3C33-83B1-3A8C9290040C}"/>
            </a:ext>
            <a:ext uri="{147F2762-F138-4A5C-976F-8EAC2B608ADB}">
              <a16:predDERef xmlns:a16="http://schemas.microsoft.com/office/drawing/2014/main" pred="{6E0966E0-0BBB-FD11-FD67-8A50E7761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735459</xdr:colOff>
      <xdr:row>67</xdr:row>
      <xdr:rowOff>14433</xdr:rowOff>
    </xdr:from>
    <xdr:to>
      <xdr:col>19</xdr:col>
      <xdr:colOff>837045</xdr:colOff>
      <xdr:row>96</xdr:row>
      <xdr:rowOff>158751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60792BA9-B239-91F2-30BD-C06C5CEDC716}"/>
            </a:ext>
            <a:ext uri="{147F2762-F138-4A5C-976F-8EAC2B608ADB}">
              <a16:predDERef xmlns:a16="http://schemas.microsoft.com/office/drawing/2014/main" pred="{3FFD617B-7830-0192-C68F-BD60D2C3B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597650</xdr:colOff>
      <xdr:row>104</xdr:row>
      <xdr:rowOff>79973</xdr:rowOff>
    </xdr:from>
    <xdr:to>
      <xdr:col>10</xdr:col>
      <xdr:colOff>115455</xdr:colOff>
      <xdr:row>135</xdr:row>
      <xdr:rowOff>129886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CBD8EB38-6DEC-43D6-6B54-3FFDFB24DF0E}"/>
            </a:ext>
            <a:ext uri="{147F2762-F138-4A5C-976F-8EAC2B608ADB}">
              <a16:predDERef xmlns:a16="http://schemas.microsoft.com/office/drawing/2014/main" pred="{3DFD7345-DD1E-4BCE-7C07-8A3765FD1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859724</xdr:colOff>
      <xdr:row>103</xdr:row>
      <xdr:rowOff>43296</xdr:rowOff>
    </xdr:from>
    <xdr:to>
      <xdr:col>20</xdr:col>
      <xdr:colOff>280147</xdr:colOff>
      <xdr:row>137</xdr:row>
      <xdr:rowOff>101021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F0AF6714-C38C-7543-F97D-F4B8AEF75842}"/>
            </a:ext>
            <a:ext uri="{147F2762-F138-4A5C-976F-8EAC2B608ADB}">
              <a16:predDERef xmlns:a16="http://schemas.microsoft.com/office/drawing/2014/main" pred="{BD2836FB-B72C-8447-C7AD-6BB3C5299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6B17-0C98-443B-B4C7-2660408EA356}">
  <dimension ref="B2:V103"/>
  <sheetViews>
    <sheetView tabSelected="1" zoomScale="23" zoomScaleNormal="22" workbookViewId="0">
      <selection activeCell="X117" sqref="X117"/>
    </sheetView>
  </sheetViews>
  <sheetFormatPr defaultRowHeight="15" x14ac:dyDescent="0.25"/>
  <cols>
    <col min="2" max="2" width="13.85546875" customWidth="1"/>
    <col min="3" max="3" width="20" customWidth="1"/>
    <col min="4" max="4" width="18.85546875" customWidth="1"/>
    <col min="5" max="5" width="16.7109375" customWidth="1"/>
    <col min="6" max="6" width="17.7109375" customWidth="1"/>
    <col min="7" max="7" width="16.140625" customWidth="1"/>
    <col min="8" max="8" width="14" customWidth="1"/>
    <col min="9" max="9" width="14.85546875" customWidth="1"/>
    <col min="10" max="10" width="15.42578125" customWidth="1"/>
    <col min="11" max="11" width="13.7109375" customWidth="1"/>
    <col min="12" max="12" width="16" customWidth="1"/>
    <col min="13" max="13" width="16.28515625" customWidth="1"/>
    <col min="14" max="14" width="15.28515625" customWidth="1"/>
    <col min="15" max="15" width="20.85546875" customWidth="1"/>
    <col min="16" max="16" width="18.28515625" customWidth="1"/>
    <col min="17" max="17" width="15" customWidth="1"/>
    <col min="18" max="18" width="17.7109375" customWidth="1"/>
    <col min="19" max="21" width="17.5703125" customWidth="1"/>
  </cols>
  <sheetData>
    <row r="2" spans="2:22" ht="30" x14ac:dyDescent="0.25">
      <c r="B2" s="11" t="s">
        <v>0</v>
      </c>
      <c r="N2" s="11" t="s">
        <v>1</v>
      </c>
    </row>
    <row r="3" spans="2:22" x14ac:dyDescent="0.25">
      <c r="B3" s="11" t="s">
        <v>2</v>
      </c>
      <c r="N3" s="11" t="s">
        <v>2</v>
      </c>
    </row>
    <row r="4" spans="2:22" ht="50.25" customHeight="1" x14ac:dyDescent="0.25">
      <c r="B4" s="1" t="s">
        <v>3</v>
      </c>
      <c r="C4" s="16" t="s">
        <v>4</v>
      </c>
      <c r="D4" s="17"/>
      <c r="E4" s="18" t="s">
        <v>5</v>
      </c>
      <c r="F4" s="17"/>
      <c r="G4" s="16" t="s">
        <v>6</v>
      </c>
      <c r="H4" s="17"/>
      <c r="I4" s="18" t="s">
        <v>7</v>
      </c>
      <c r="J4" s="17"/>
      <c r="K4" s="15" t="s">
        <v>8</v>
      </c>
      <c r="L4" s="15"/>
      <c r="N4" s="1" t="s">
        <v>3</v>
      </c>
      <c r="O4" s="1" t="s">
        <v>9</v>
      </c>
      <c r="P4" s="10" t="s">
        <v>10</v>
      </c>
      <c r="Q4" s="10" t="s">
        <v>11</v>
      </c>
      <c r="R4" s="1" t="s">
        <v>12</v>
      </c>
      <c r="S4" s="10" t="s">
        <v>13</v>
      </c>
      <c r="T4" s="10" t="s">
        <v>14</v>
      </c>
      <c r="U4" s="1" t="s">
        <v>15</v>
      </c>
      <c r="V4" s="1" t="s">
        <v>8</v>
      </c>
    </row>
    <row r="5" spans="2:22" x14ac:dyDescent="0.25">
      <c r="B5" s="2">
        <v>0.2</v>
      </c>
      <c r="C5" s="6">
        <v>0.83214368673700001</v>
      </c>
      <c r="D5" s="7">
        <v>0.69499999999999995</v>
      </c>
      <c r="E5" s="6">
        <v>0.36923005951400001</v>
      </c>
      <c r="F5" s="7">
        <v>0.315</v>
      </c>
      <c r="G5" s="6">
        <v>0.169730186462</v>
      </c>
      <c r="H5" s="7">
        <v>0.13900000000000001</v>
      </c>
      <c r="I5" s="6">
        <v>13.5792446764</v>
      </c>
      <c r="J5" s="7">
        <v>12.920999999999999</v>
      </c>
      <c r="K5" s="4" t="s">
        <v>16</v>
      </c>
      <c r="L5" s="5" t="s">
        <v>16</v>
      </c>
      <c r="N5" s="2">
        <v>0.2</v>
      </c>
      <c r="O5" s="12">
        <v>0.55600000000000005</v>
      </c>
      <c r="P5" s="12">
        <v>0.27500000000000002</v>
      </c>
      <c r="Q5" s="12">
        <v>12.07</v>
      </c>
      <c r="R5" s="12">
        <v>0.14499999999999999</v>
      </c>
      <c r="S5" s="12">
        <v>2.76</v>
      </c>
      <c r="T5" s="13">
        <v>0.67</v>
      </c>
      <c r="U5" s="13" cm="1">
        <f t="array" ref="U5:U8">T5:T8/S5:S8</f>
        <v>0.24275362318840582</v>
      </c>
      <c r="V5" s="9" t="s">
        <v>16</v>
      </c>
    </row>
    <row r="6" spans="2:22" x14ac:dyDescent="0.25">
      <c r="B6" s="2">
        <v>0.4</v>
      </c>
      <c r="C6" s="6">
        <v>1.3179845452400001</v>
      </c>
      <c r="D6" s="7">
        <v>1.216</v>
      </c>
      <c r="E6" s="6">
        <v>0.67594575529500001</v>
      </c>
      <c r="F6" s="7">
        <v>0.59399999999999997</v>
      </c>
      <c r="G6" s="6">
        <v>0.24782752990699999</v>
      </c>
      <c r="H6" s="7">
        <v>0.22500000000000001</v>
      </c>
      <c r="I6" s="6">
        <v>18.030362986499998</v>
      </c>
      <c r="J6" s="7">
        <v>17.459</v>
      </c>
      <c r="K6" s="4" t="s">
        <v>16</v>
      </c>
      <c r="L6" s="5" t="s">
        <v>16</v>
      </c>
      <c r="N6" s="2">
        <v>0.4</v>
      </c>
      <c r="O6" s="12">
        <v>0.92</v>
      </c>
      <c r="P6" s="12">
        <v>0.46</v>
      </c>
      <c r="Q6" s="12">
        <v>15.77</v>
      </c>
      <c r="R6" s="12">
        <v>0.21299999999999999</v>
      </c>
      <c r="S6" s="12">
        <v>4.63</v>
      </c>
      <c r="T6" s="12">
        <v>2.35</v>
      </c>
      <c r="U6" s="12">
        <v>0.50755939524838012</v>
      </c>
      <c r="V6" s="8" t="s">
        <v>16</v>
      </c>
    </row>
    <row r="7" spans="2:22" x14ac:dyDescent="0.25">
      <c r="B7" s="2">
        <v>0.6</v>
      </c>
      <c r="C7" s="6">
        <v>1.68210468437</v>
      </c>
      <c r="D7" s="7">
        <v>1.607</v>
      </c>
      <c r="E7" s="6">
        <v>0.99404394947999997</v>
      </c>
      <c r="F7" s="7">
        <v>0.873</v>
      </c>
      <c r="G7" s="6">
        <v>0.31235313415499999</v>
      </c>
      <c r="H7" s="7">
        <v>0.29099999999999998</v>
      </c>
      <c r="I7" s="6">
        <v>21.5063088536</v>
      </c>
      <c r="J7" s="7">
        <v>21.248000000000001</v>
      </c>
      <c r="K7" s="4" t="s">
        <v>16</v>
      </c>
      <c r="L7" s="5" t="s">
        <v>16</v>
      </c>
      <c r="N7" s="2">
        <v>0.6</v>
      </c>
      <c r="O7" s="12">
        <v>1.2</v>
      </c>
      <c r="P7" s="12">
        <v>0.66</v>
      </c>
      <c r="Q7" s="14">
        <v>19</v>
      </c>
      <c r="R7" s="12">
        <v>0.26300000000000001</v>
      </c>
      <c r="S7" s="12">
        <v>6.7</v>
      </c>
      <c r="T7" s="12">
        <v>3.42</v>
      </c>
      <c r="U7" s="12">
        <v>0.51044776119402979</v>
      </c>
      <c r="V7" s="8" t="s">
        <v>16</v>
      </c>
    </row>
    <row r="8" spans="2:22" x14ac:dyDescent="0.25">
      <c r="B8" s="2">
        <v>0.8</v>
      </c>
      <c r="C8" s="6">
        <v>1.25539946556</v>
      </c>
      <c r="D8" s="7">
        <v>1.5489999999999999</v>
      </c>
      <c r="E8" s="6">
        <v>1.7593629256400001</v>
      </c>
      <c r="F8" s="7">
        <v>1.4350000000000001</v>
      </c>
      <c r="G8" s="6">
        <v>0.54110527038599998</v>
      </c>
      <c r="H8" s="7">
        <v>0.42</v>
      </c>
      <c r="I8" s="6">
        <v>23.841128084000001</v>
      </c>
      <c r="J8" s="7">
        <v>24.532</v>
      </c>
      <c r="K8" s="4" t="s">
        <v>17</v>
      </c>
      <c r="L8" s="5" t="s">
        <v>17</v>
      </c>
      <c r="N8" s="2">
        <v>0.8</v>
      </c>
      <c r="O8" s="12">
        <v>1.0900000000000001</v>
      </c>
      <c r="P8" s="12">
        <v>1.36</v>
      </c>
      <c r="Q8" s="12">
        <v>23.38</v>
      </c>
      <c r="R8" s="12">
        <v>0.438</v>
      </c>
      <c r="S8" s="12">
        <v>13.7</v>
      </c>
      <c r="T8" s="12">
        <v>5.3</v>
      </c>
      <c r="U8" s="12">
        <v>0.38686131386861317</v>
      </c>
      <c r="V8" s="8" t="s">
        <v>17</v>
      </c>
    </row>
    <row r="10" spans="2:22" x14ac:dyDescent="0.25">
      <c r="B10" t="s">
        <v>18</v>
      </c>
      <c r="N10" t="s">
        <v>18</v>
      </c>
    </row>
    <row r="11" spans="2:22" ht="48" customHeight="1" x14ac:dyDescent="0.25">
      <c r="B11" s="1" t="s">
        <v>19</v>
      </c>
      <c r="C11" s="16" t="s">
        <v>4</v>
      </c>
      <c r="D11" s="17"/>
      <c r="E11" s="18" t="s">
        <v>5</v>
      </c>
      <c r="F11" s="17"/>
      <c r="G11" s="16" t="s">
        <v>6</v>
      </c>
      <c r="H11" s="17"/>
      <c r="I11" s="18" t="s">
        <v>7</v>
      </c>
      <c r="J11" s="17"/>
      <c r="K11" s="15" t="s">
        <v>8</v>
      </c>
      <c r="L11" s="15"/>
      <c r="N11" s="1" t="s">
        <v>19</v>
      </c>
      <c r="O11" s="1" t="s">
        <v>9</v>
      </c>
      <c r="P11" s="10" t="s">
        <v>10</v>
      </c>
      <c r="Q11" s="10" t="s">
        <v>11</v>
      </c>
      <c r="R11" s="1" t="s">
        <v>12</v>
      </c>
      <c r="S11" s="10" t="s">
        <v>13</v>
      </c>
      <c r="T11" s="10" t="s">
        <v>14</v>
      </c>
      <c r="U11" s="1" t="s">
        <v>15</v>
      </c>
      <c r="V11" s="1" t="s">
        <v>8</v>
      </c>
    </row>
    <row r="12" spans="2:22" x14ac:dyDescent="0.25">
      <c r="B12" s="3">
        <v>2.5</v>
      </c>
      <c r="C12" s="6">
        <v>1.6821046148400001</v>
      </c>
      <c r="D12" s="7">
        <v>1.607</v>
      </c>
      <c r="E12" s="6">
        <v>0.99403984696500003</v>
      </c>
      <c r="F12" s="7">
        <v>0.873</v>
      </c>
      <c r="G12" s="6">
        <v>0.31187438964800002</v>
      </c>
      <c r="H12" s="7">
        <v>0.29099999999999998</v>
      </c>
      <c r="I12" s="6">
        <v>21.5063662608</v>
      </c>
      <c r="J12" s="7">
        <v>21.248000000000001</v>
      </c>
      <c r="K12" s="4" t="s">
        <v>16</v>
      </c>
      <c r="L12" s="5" t="s">
        <v>16</v>
      </c>
      <c r="N12" s="3">
        <v>2.5</v>
      </c>
      <c r="O12" s="12">
        <v>1.2</v>
      </c>
      <c r="P12" s="12">
        <v>0.66</v>
      </c>
      <c r="Q12" s="14">
        <v>19</v>
      </c>
      <c r="R12" s="12">
        <v>0.26300000000000001</v>
      </c>
      <c r="S12" s="12">
        <v>6.7</v>
      </c>
      <c r="T12" s="12">
        <v>3.42</v>
      </c>
      <c r="U12" s="13" cm="1">
        <f t="array" ref="U12:U14">T12:T14/S12:S14</f>
        <v>0.51044776119402979</v>
      </c>
      <c r="V12" s="9" t="s">
        <v>16</v>
      </c>
    </row>
    <row r="13" spans="2:22" x14ac:dyDescent="0.25">
      <c r="B13" s="3">
        <v>5</v>
      </c>
      <c r="C13" s="6">
        <v>0.97973424196199999</v>
      </c>
      <c r="D13" s="7">
        <v>0.95599999999999996</v>
      </c>
      <c r="E13" s="6">
        <v>0.83850642255300001</v>
      </c>
      <c r="F13" s="7">
        <v>0.59799999999999998</v>
      </c>
      <c r="G13" s="6">
        <v>0.145210266113</v>
      </c>
      <c r="H13" s="7">
        <v>0.111</v>
      </c>
      <c r="I13" s="6">
        <v>22.580384803699999</v>
      </c>
      <c r="J13" s="7">
        <v>20.096</v>
      </c>
      <c r="K13" s="4" t="s">
        <v>17</v>
      </c>
      <c r="L13" s="5" t="s">
        <v>17</v>
      </c>
      <c r="N13" s="3">
        <v>5</v>
      </c>
      <c r="O13" s="12">
        <v>0.748</v>
      </c>
      <c r="P13" s="12">
        <v>0.58099999999999996</v>
      </c>
      <c r="Q13" s="12">
        <v>19.350000000000001</v>
      </c>
      <c r="R13" s="12">
        <v>0.15</v>
      </c>
      <c r="S13" s="12">
        <v>5.84</v>
      </c>
      <c r="T13" s="12">
        <v>3.62</v>
      </c>
      <c r="U13" s="12">
        <v>0.61986301369863017</v>
      </c>
      <c r="V13" s="8" t="s">
        <v>17</v>
      </c>
    </row>
    <row r="14" spans="2:22" x14ac:dyDescent="0.25">
      <c r="B14" s="3">
        <v>7.5</v>
      </c>
      <c r="C14" s="6">
        <v>0.68840664625199999</v>
      </c>
      <c r="D14" s="7">
        <v>0.64500000000000002</v>
      </c>
      <c r="E14" s="6">
        <v>0.94946912535700001</v>
      </c>
      <c r="F14" s="7">
        <v>0.55400000000000005</v>
      </c>
      <c r="G14" s="6">
        <v>0.12252426147499999</v>
      </c>
      <c r="H14" s="7">
        <v>8.3000000000000004E-2</v>
      </c>
      <c r="I14" s="6">
        <v>23.9924118082</v>
      </c>
      <c r="J14" s="7">
        <v>20.247</v>
      </c>
      <c r="K14" s="4" t="s">
        <v>17</v>
      </c>
      <c r="L14" s="5" t="s">
        <v>17</v>
      </c>
      <c r="N14" s="3">
        <v>7.5</v>
      </c>
      <c r="O14" s="12">
        <v>0.502</v>
      </c>
      <c r="P14" s="12">
        <v>0.54700000000000004</v>
      </c>
      <c r="Q14" s="12">
        <v>19.46</v>
      </c>
      <c r="R14" s="12">
        <v>0.105</v>
      </c>
      <c r="S14" s="12">
        <v>5.61</v>
      </c>
      <c r="T14" s="12">
        <v>3.64</v>
      </c>
      <c r="U14" s="12">
        <v>0.64884135472370763</v>
      </c>
      <c r="V14" s="8" t="s">
        <v>17</v>
      </c>
    </row>
    <row r="16" spans="2:22" x14ac:dyDescent="0.25">
      <c r="B16" t="s">
        <v>20</v>
      </c>
      <c r="N16" t="s">
        <v>20</v>
      </c>
    </row>
    <row r="17" spans="2:22" ht="53.25" customHeight="1" x14ac:dyDescent="0.25">
      <c r="B17" s="1" t="s">
        <v>21</v>
      </c>
      <c r="C17" s="16" t="s">
        <v>4</v>
      </c>
      <c r="D17" s="17"/>
      <c r="E17" s="18" t="s">
        <v>5</v>
      </c>
      <c r="F17" s="17"/>
      <c r="G17" s="16" t="s">
        <v>6</v>
      </c>
      <c r="H17" s="17"/>
      <c r="I17" s="18" t="s">
        <v>7</v>
      </c>
      <c r="J17" s="17"/>
      <c r="K17" s="15" t="s">
        <v>8</v>
      </c>
      <c r="L17" s="15"/>
      <c r="N17" s="1" t="s">
        <v>21</v>
      </c>
      <c r="O17" s="1" t="s">
        <v>9</v>
      </c>
      <c r="P17" s="10" t="s">
        <v>10</v>
      </c>
      <c r="Q17" s="10" t="s">
        <v>11</v>
      </c>
      <c r="R17" s="1" t="s">
        <v>12</v>
      </c>
      <c r="S17" s="10" t="s">
        <v>13</v>
      </c>
      <c r="T17" s="10" t="s">
        <v>14</v>
      </c>
      <c r="U17" s="1" t="s">
        <v>15</v>
      </c>
      <c r="V17" s="1" t="s">
        <v>8</v>
      </c>
    </row>
    <row r="18" spans="2:22" x14ac:dyDescent="0.25">
      <c r="B18" s="3">
        <v>400</v>
      </c>
      <c r="C18" s="6">
        <v>1.6821190212999999</v>
      </c>
      <c r="D18" s="7">
        <v>1.607</v>
      </c>
      <c r="E18" s="6">
        <v>0.93790562254099996</v>
      </c>
      <c r="F18" s="7">
        <v>0.80100000000000005</v>
      </c>
      <c r="G18" s="6">
        <v>1.2638969421399999</v>
      </c>
      <c r="H18" s="7">
        <v>1.169</v>
      </c>
      <c r="I18" s="6">
        <v>35.467364655399997</v>
      </c>
      <c r="J18" s="7">
        <v>34.777000000000001</v>
      </c>
      <c r="K18" s="4" t="s">
        <v>16</v>
      </c>
      <c r="L18" s="5" t="s">
        <v>16</v>
      </c>
      <c r="N18" s="3">
        <v>400</v>
      </c>
      <c r="O18" s="12">
        <v>1.2</v>
      </c>
      <c r="P18" s="12">
        <v>0.58699999999999997</v>
      </c>
      <c r="Q18" s="12">
        <v>33.200000000000003</v>
      </c>
      <c r="R18" s="12">
        <v>0.156</v>
      </c>
      <c r="S18" s="12">
        <v>5.9</v>
      </c>
      <c r="T18" s="13">
        <v>2.48</v>
      </c>
      <c r="U18" s="13" cm="1">
        <f t="array" ref="U18:U20">T18:T20/S18:S20</f>
        <v>0.42033898305084744</v>
      </c>
      <c r="V18" s="9" t="s">
        <v>16</v>
      </c>
    </row>
    <row r="19" spans="2:22" x14ac:dyDescent="0.25">
      <c r="B19" s="3">
        <v>200</v>
      </c>
      <c r="C19" s="6">
        <v>1.68211408204</v>
      </c>
      <c r="D19" s="7">
        <v>1.607</v>
      </c>
      <c r="E19" s="6">
        <v>0.95810363324000003</v>
      </c>
      <c r="F19" s="7">
        <v>0.82599999999999996</v>
      </c>
      <c r="G19" s="6">
        <v>0.52569580078099998</v>
      </c>
      <c r="H19" s="7">
        <v>0.47799999999999998</v>
      </c>
      <c r="I19" s="6">
        <v>28.474694003500002</v>
      </c>
      <c r="J19" s="7">
        <v>27.952000000000002</v>
      </c>
      <c r="K19" s="4" t="s">
        <v>16</v>
      </c>
      <c r="L19" s="5" t="s">
        <v>16</v>
      </c>
      <c r="N19" s="3">
        <v>200</v>
      </c>
      <c r="O19" s="12">
        <v>1.19</v>
      </c>
      <c r="P19" s="12">
        <v>0.61099999999999999</v>
      </c>
      <c r="Q19" s="12">
        <v>24.99</v>
      </c>
      <c r="R19" s="12">
        <v>0.20300000000000001</v>
      </c>
      <c r="S19" s="12">
        <v>6.15</v>
      </c>
      <c r="T19" s="12">
        <v>2.91</v>
      </c>
      <c r="U19" s="12">
        <v>0.47317073170731705</v>
      </c>
      <c r="V19" s="8" t="s">
        <v>16</v>
      </c>
    </row>
    <row r="20" spans="2:22" x14ac:dyDescent="0.25">
      <c r="B20" s="3">
        <v>100</v>
      </c>
      <c r="C20" s="6">
        <v>1.6821046148400001</v>
      </c>
      <c r="D20" s="7">
        <v>1.607</v>
      </c>
      <c r="E20" s="6">
        <v>0.99403984696500003</v>
      </c>
      <c r="F20" s="7">
        <v>0.873</v>
      </c>
      <c r="G20" s="6">
        <v>0.31187438964800002</v>
      </c>
      <c r="H20" s="7">
        <v>0.29099999999999998</v>
      </c>
      <c r="I20" s="6">
        <v>21.5063662608</v>
      </c>
      <c r="J20" s="7">
        <v>21.248000000000001</v>
      </c>
      <c r="K20" s="4" t="s">
        <v>16</v>
      </c>
      <c r="L20" s="5" t="s">
        <v>16</v>
      </c>
      <c r="N20" s="3">
        <v>100</v>
      </c>
      <c r="O20" s="12">
        <v>1.2</v>
      </c>
      <c r="P20" s="12">
        <v>0.66</v>
      </c>
      <c r="Q20" s="14">
        <v>19</v>
      </c>
      <c r="R20" s="12">
        <v>0.26300000000000001</v>
      </c>
      <c r="S20" s="12">
        <v>6.7</v>
      </c>
      <c r="T20" s="12">
        <v>3.42</v>
      </c>
      <c r="U20" s="12">
        <v>0.51044776119402979</v>
      </c>
      <c r="V20" s="8" t="s">
        <v>16</v>
      </c>
    </row>
    <row r="23" spans="2:22" x14ac:dyDescent="0.25">
      <c r="N23" t="s">
        <v>22</v>
      </c>
    </row>
    <row r="24" spans="2:22" ht="60" x14ac:dyDescent="0.25">
      <c r="N24" s="1" t="s">
        <v>21</v>
      </c>
      <c r="O24" s="1" t="s">
        <v>23</v>
      </c>
      <c r="P24" s="1" t="s">
        <v>24</v>
      </c>
    </row>
    <row r="25" spans="2:22" x14ac:dyDescent="0.25">
      <c r="N25" s="3">
        <v>400</v>
      </c>
      <c r="O25" s="8">
        <v>65.400000000000006</v>
      </c>
      <c r="P25" s="8" t="s">
        <v>28</v>
      </c>
    </row>
    <row r="26" spans="2:22" x14ac:dyDescent="0.25">
      <c r="N26" s="3">
        <v>200</v>
      </c>
      <c r="O26" s="8">
        <v>25.6</v>
      </c>
      <c r="P26" s="8" t="s">
        <v>28</v>
      </c>
    </row>
    <row r="27" spans="2:22" x14ac:dyDescent="0.25">
      <c r="N27" s="3">
        <v>100</v>
      </c>
      <c r="O27" s="8">
        <v>10.4</v>
      </c>
      <c r="P27" s="8" t="s">
        <v>28</v>
      </c>
    </row>
    <row r="31" spans="2:22" ht="30" x14ac:dyDescent="0.25">
      <c r="B31" s="11" t="s">
        <v>25</v>
      </c>
    </row>
    <row r="48" spans="20:20" x14ac:dyDescent="0.25">
      <c r="T48" t="s">
        <v>29</v>
      </c>
    </row>
    <row r="65" spans="2:2" ht="30" x14ac:dyDescent="0.25">
      <c r="B65" s="11" t="s">
        <v>26</v>
      </c>
    </row>
    <row r="103" spans="2:2" ht="45" x14ac:dyDescent="0.25">
      <c r="B103" s="11" t="s">
        <v>27</v>
      </c>
    </row>
  </sheetData>
  <mergeCells count="15">
    <mergeCell ref="K4:L4"/>
    <mergeCell ref="K11:L11"/>
    <mergeCell ref="K17:L17"/>
    <mergeCell ref="C4:D4"/>
    <mergeCell ref="E4:F4"/>
    <mergeCell ref="G4:H4"/>
    <mergeCell ref="I4:J4"/>
    <mergeCell ref="C17:D17"/>
    <mergeCell ref="E17:F17"/>
    <mergeCell ref="G17:H17"/>
    <mergeCell ref="I17:J17"/>
    <mergeCell ref="C11:D11"/>
    <mergeCell ref="E11:F11"/>
    <mergeCell ref="G11:H11"/>
    <mergeCell ref="I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C4 HSS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</dc:creator>
  <cp:keywords/>
  <dc:description/>
  <cp:lastModifiedBy>Simon</cp:lastModifiedBy>
  <cp:revision/>
  <dcterms:created xsi:type="dcterms:W3CDTF">2025-12-07T13:49:31Z</dcterms:created>
  <dcterms:modified xsi:type="dcterms:W3CDTF">2025-12-16T08:44:59Z</dcterms:modified>
  <cp:category/>
  <cp:contentStatus/>
</cp:coreProperties>
</file>